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flash\Documents\SubjectTutorialPractice2023\"/>
    </mc:Choice>
  </mc:AlternateContent>
  <bookViews>
    <workbookView xWindow="0" yWindow="0" windowWidth="11490" windowHeight="4635" activeTab="1"/>
  </bookViews>
  <sheets>
    <sheet name="Посещаемость" sheetId="1" r:id="rId1"/>
    <sheet name="Выполнение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4" i="1" l="1"/>
  <c r="F24" i="1"/>
  <c r="G24" i="1"/>
  <c r="H24" i="1"/>
  <c r="I24" i="1"/>
  <c r="J24" i="1"/>
  <c r="K24" i="1"/>
  <c r="L24" i="1"/>
  <c r="M24" i="1"/>
  <c r="N24" i="1"/>
  <c r="D24" i="1"/>
  <c r="Q11" i="1"/>
  <c r="Q4" i="1" l="1"/>
  <c r="Q5" i="1"/>
  <c r="Q6" i="1"/>
  <c r="Q7" i="1"/>
  <c r="Q8" i="1"/>
  <c r="Q9" i="1"/>
  <c r="Q10" i="1"/>
  <c r="Q12" i="1"/>
  <c r="Q13" i="1"/>
  <c r="Q14" i="1"/>
  <c r="Q15" i="1"/>
  <c r="Q16" i="1"/>
  <c r="Q17" i="1"/>
  <c r="Q18" i="1"/>
  <c r="Q3" i="1"/>
  <c r="N23" i="1" l="1"/>
  <c r="D23" i="1" l="1"/>
  <c r="E23" i="1"/>
  <c r="F23" i="1"/>
  <c r="G23" i="1"/>
  <c r="H23" i="1"/>
  <c r="I23" i="1"/>
  <c r="J23" i="1"/>
  <c r="K23" i="1"/>
  <c r="L23" i="1"/>
  <c r="M23" i="1"/>
</calcChain>
</file>

<file path=xl/sharedStrings.xml><?xml version="1.0" encoding="utf-8"?>
<sst xmlns="http://schemas.openxmlformats.org/spreadsheetml/2006/main" count="245" uniqueCount="34">
  <si>
    <t>Кедяев Давид Юрьевич</t>
  </si>
  <si>
    <t>Дымченко Владимир Владимирович</t>
  </si>
  <si>
    <t>Романов Георгий Олегович</t>
  </si>
  <si>
    <t>Ефимов Иван Михайлович</t>
  </si>
  <si>
    <t>Ф.И.О.</t>
  </si>
  <si>
    <t>Маликов Артемий Денисович</t>
  </si>
  <si>
    <t>Манаков Денис Алексеевич</t>
  </si>
  <si>
    <t>Мисюра Владислав Сергеевич</t>
  </si>
  <si>
    <t>Белых Егор Александрович</t>
  </si>
  <si>
    <t>Кудряшов Кирилл Эдуардович</t>
  </si>
  <si>
    <t>н</t>
  </si>
  <si>
    <t>б</t>
  </si>
  <si>
    <t>Посещаемость</t>
  </si>
  <si>
    <t>artem_malikov_2015@bk.ru</t>
  </si>
  <si>
    <t>Ермолина Екатерина Алексеевна</t>
  </si>
  <si>
    <t>Заболотских Владимир Дмитриевич</t>
  </si>
  <si>
    <t>Иванов Василий Алексеевич</t>
  </si>
  <si>
    <t>Картавцев Роман Александрович</t>
  </si>
  <si>
    <t>Цырулина Анастасия Алексеевна</t>
  </si>
  <si>
    <t>Насуханов Тимур Алиевич</t>
  </si>
  <si>
    <t>№</t>
  </si>
  <si>
    <t>д</t>
  </si>
  <si>
    <t>присутствие</t>
  </si>
  <si>
    <t>дистант</t>
  </si>
  <si>
    <t>обстоят</t>
  </si>
  <si>
    <t>Тематика</t>
  </si>
  <si>
    <t>Автоматизация Office</t>
  </si>
  <si>
    <t>Козонов Давид Александрович</t>
  </si>
  <si>
    <t>Менеджер ссылок</t>
  </si>
  <si>
    <t>LabView</t>
  </si>
  <si>
    <t>Web-разработка</t>
  </si>
  <si>
    <t>C#</t>
  </si>
  <si>
    <t>Web</t>
  </si>
  <si>
    <t>Проект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</si>
</sst>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8">
    <xf numFmtId="0" fontId="0" fillId="0" borderId="0" xfId="0"/>
    <xf numFmtId="0" fontId="1" fillId="0" borderId="0" xfId="1"/>
    <xf numFmtId="0" fontId="0" fillId="0" borderId="0" xfId="0" applyFill="1"/>
    <xf numFmtId="0" fontId="0" fillId="0" borderId="1" xfId="0" applyFill="1" applyBorder="1"/>
    <xf numFmtId="14" fontId="0" fillId="0" borderId="0" xfId="0" applyNumberFormat="1" applyFill="1"/>
    <xf numFmtId="0" fontId="2" fillId="0" borderId="1" xfId="0" applyFont="1" applyFill="1" applyBorder="1"/>
    <xf numFmtId="0" fontId="2" fillId="0" borderId="1" xfId="0" applyFont="1" applyFill="1" applyBorder="1" applyAlignment="1">
      <alignment horizontal="right"/>
    </xf>
    <xf numFmtId="14" fontId="2" fillId="0" borderId="1" xfId="0" applyNumberFormat="1" applyFont="1" applyFill="1" applyBorder="1"/>
    <xf numFmtId="0" fontId="2" fillId="0" borderId="0" xfId="0" applyFont="1" applyFill="1"/>
    <xf numFmtId="0" fontId="0" fillId="2" borderId="0" xfId="0" applyFill="1"/>
    <xf numFmtId="0" fontId="2" fillId="2" borderId="1" xfId="0" applyFont="1" applyFill="1" applyBorder="1"/>
    <xf numFmtId="0" fontId="0" fillId="3" borderId="0" xfId="0" applyFill="1"/>
    <xf numFmtId="0" fontId="2" fillId="3" borderId="1" xfId="0" applyFont="1" applyFill="1" applyBorder="1"/>
    <xf numFmtId="0" fontId="0" fillId="4" borderId="0" xfId="0" applyFill="1"/>
    <xf numFmtId="0" fontId="2" fillId="4" borderId="1" xfId="0" applyFont="1" applyFill="1" applyBorder="1"/>
    <xf numFmtId="0" fontId="2" fillId="5" borderId="1" xfId="0" applyFont="1" applyFill="1" applyBorder="1"/>
    <xf numFmtId="0" fontId="0" fillId="5" borderId="0" xfId="0" applyFill="1"/>
    <xf numFmtId="0" fontId="0" fillId="6" borderId="1" xfId="0" applyFill="1" applyBorder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rtem_malikov_2015@bk.ru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artem_malikov_2015@bk.r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R30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I4" sqref="I4"/>
    </sheetView>
  </sheetViews>
  <sheetFormatPr defaultRowHeight="15" x14ac:dyDescent="0.25"/>
  <cols>
    <col min="2" max="2" width="35.28515625" bestFit="1" customWidth="1"/>
    <col min="3" max="3" width="21.140625" bestFit="1" customWidth="1"/>
    <col min="4" max="7" width="10.140625" bestFit="1" customWidth="1"/>
    <col min="8" max="12" width="10.140625" customWidth="1"/>
    <col min="13" max="13" width="10.140625" bestFit="1" customWidth="1"/>
    <col min="14" max="15" width="10.140625" customWidth="1"/>
    <col min="17" max="17" width="14.5703125" bestFit="1" customWidth="1"/>
  </cols>
  <sheetData>
    <row r="2" spans="1:18" x14ac:dyDescent="0.25">
      <c r="A2" s="6" t="s">
        <v>20</v>
      </c>
      <c r="B2" s="5" t="s">
        <v>4</v>
      </c>
      <c r="C2" s="5" t="s">
        <v>25</v>
      </c>
      <c r="D2" s="7">
        <v>45113</v>
      </c>
      <c r="E2" s="7">
        <v>45114</v>
      </c>
      <c r="F2" s="7">
        <v>45117</v>
      </c>
      <c r="G2" s="7">
        <v>45118</v>
      </c>
      <c r="H2" s="7">
        <v>45119</v>
      </c>
      <c r="I2" s="7">
        <v>45120</v>
      </c>
      <c r="J2" s="7">
        <v>45121</v>
      </c>
      <c r="K2" s="7">
        <v>45124</v>
      </c>
      <c r="L2" s="7">
        <v>45125</v>
      </c>
      <c r="M2" s="7">
        <v>45126</v>
      </c>
      <c r="N2" s="7"/>
      <c r="O2" s="4"/>
      <c r="P2" s="2"/>
      <c r="Q2" s="8" t="s">
        <v>12</v>
      </c>
      <c r="R2" s="2"/>
    </row>
    <row r="3" spans="1:18" x14ac:dyDescent="0.25">
      <c r="A3" s="5">
        <v>1</v>
      </c>
      <c r="B3" s="5" t="s">
        <v>8</v>
      </c>
      <c r="C3" s="14" t="s">
        <v>30</v>
      </c>
      <c r="D3" s="3" t="s">
        <v>21</v>
      </c>
      <c r="E3" s="17" t="s">
        <v>10</v>
      </c>
      <c r="F3" s="3" t="s">
        <v>21</v>
      </c>
      <c r="G3" s="3" t="s">
        <v>21</v>
      </c>
      <c r="H3" s="3" t="s">
        <v>21</v>
      </c>
      <c r="I3" s="3" t="s">
        <v>21</v>
      </c>
      <c r="J3" s="3" t="s">
        <v>21</v>
      </c>
      <c r="K3" s="17" t="s">
        <v>10</v>
      </c>
      <c r="L3" s="17" t="s">
        <v>10</v>
      </c>
      <c r="M3" s="17" t="s">
        <v>10</v>
      </c>
      <c r="N3" s="3"/>
      <c r="O3" s="2"/>
      <c r="P3" s="2"/>
      <c r="Q3" s="2">
        <f>COUNTIF(D3:N3, "б")</f>
        <v>0</v>
      </c>
      <c r="R3" s="2"/>
    </row>
    <row r="4" spans="1:18" x14ac:dyDescent="0.25">
      <c r="A4" s="5">
        <v>2</v>
      </c>
      <c r="B4" s="5" t="s">
        <v>1</v>
      </c>
      <c r="C4" s="15" t="s">
        <v>28</v>
      </c>
      <c r="D4" s="3" t="s">
        <v>21</v>
      </c>
      <c r="E4" s="3" t="s">
        <v>21</v>
      </c>
      <c r="F4" s="3" t="s">
        <v>21</v>
      </c>
      <c r="G4" s="3" t="s">
        <v>21</v>
      </c>
      <c r="H4" s="3" t="s">
        <v>21</v>
      </c>
      <c r="I4" s="17" t="s">
        <v>10</v>
      </c>
      <c r="J4" s="17" t="s">
        <v>10</v>
      </c>
      <c r="K4" s="3" t="s">
        <v>21</v>
      </c>
      <c r="L4" s="17" t="s">
        <v>10</v>
      </c>
      <c r="M4" s="17" t="s">
        <v>10</v>
      </c>
      <c r="N4" s="3"/>
      <c r="O4" s="2"/>
      <c r="P4" s="2"/>
      <c r="Q4" s="2">
        <f>COUNTIF(D4:N4, "б")</f>
        <v>0</v>
      </c>
      <c r="R4" s="2"/>
    </row>
    <row r="5" spans="1:18" x14ac:dyDescent="0.25">
      <c r="A5" s="5">
        <v>3</v>
      </c>
      <c r="B5" s="5" t="s">
        <v>3</v>
      </c>
      <c r="C5" s="10" t="s">
        <v>26</v>
      </c>
      <c r="D5" s="3" t="s">
        <v>11</v>
      </c>
      <c r="E5" s="17" t="s">
        <v>10</v>
      </c>
      <c r="F5" s="3" t="s">
        <v>21</v>
      </c>
      <c r="G5" s="17" t="s">
        <v>10</v>
      </c>
      <c r="H5" s="3" t="s">
        <v>21</v>
      </c>
      <c r="I5" s="3" t="s">
        <v>21</v>
      </c>
      <c r="J5" s="17" t="s">
        <v>10</v>
      </c>
      <c r="K5" s="17" t="s">
        <v>10</v>
      </c>
      <c r="L5" s="17" t="s">
        <v>10</v>
      </c>
      <c r="M5" s="17" t="s">
        <v>10</v>
      </c>
      <c r="N5" s="3"/>
      <c r="O5" s="2"/>
      <c r="P5" s="2"/>
      <c r="Q5" s="2">
        <f>COUNTIF(D5:N5, "б")</f>
        <v>1</v>
      </c>
      <c r="R5" s="2"/>
    </row>
    <row r="6" spans="1:18" x14ac:dyDescent="0.25">
      <c r="A6" s="5">
        <v>4</v>
      </c>
      <c r="B6" s="5" t="s">
        <v>14</v>
      </c>
      <c r="C6" s="10" t="s">
        <v>26</v>
      </c>
      <c r="D6" s="3" t="s">
        <v>21</v>
      </c>
      <c r="E6" s="3" t="s">
        <v>24</v>
      </c>
      <c r="F6" s="3" t="s">
        <v>21</v>
      </c>
      <c r="G6" s="3" t="s">
        <v>21</v>
      </c>
      <c r="H6" s="3" t="s">
        <v>21</v>
      </c>
      <c r="I6" s="3" t="s">
        <v>21</v>
      </c>
      <c r="J6" s="17" t="s">
        <v>10</v>
      </c>
      <c r="K6" s="3" t="s">
        <v>21</v>
      </c>
      <c r="L6" s="17" t="s">
        <v>10</v>
      </c>
      <c r="M6" s="3" t="s">
        <v>21</v>
      </c>
      <c r="N6" s="3"/>
      <c r="O6" s="2"/>
      <c r="P6" s="2"/>
      <c r="Q6" s="2">
        <f>COUNTIF(D6:N6, "б")</f>
        <v>0</v>
      </c>
      <c r="R6" s="2"/>
    </row>
    <row r="7" spans="1:18" x14ac:dyDescent="0.25">
      <c r="A7" s="5">
        <v>5</v>
      </c>
      <c r="B7" s="5" t="s">
        <v>15</v>
      </c>
      <c r="C7" s="12" t="s">
        <v>29</v>
      </c>
      <c r="D7" s="17" t="s">
        <v>10</v>
      </c>
      <c r="E7" s="17" t="s">
        <v>10</v>
      </c>
      <c r="F7" s="17" t="s">
        <v>10</v>
      </c>
      <c r="G7" s="17" t="s">
        <v>10</v>
      </c>
      <c r="H7" s="3" t="s">
        <v>21</v>
      </c>
      <c r="I7" s="17" t="s">
        <v>10</v>
      </c>
      <c r="J7" s="17" t="s">
        <v>10</v>
      </c>
      <c r="K7" s="17" t="s">
        <v>10</v>
      </c>
      <c r="L7" s="17" t="s">
        <v>10</v>
      </c>
      <c r="M7" s="17" t="s">
        <v>10</v>
      </c>
      <c r="N7" s="3"/>
      <c r="O7" s="2"/>
      <c r="P7" s="2"/>
      <c r="Q7" s="2">
        <f>COUNTIF(D7:N7, "б")</f>
        <v>0</v>
      </c>
      <c r="R7" s="2"/>
    </row>
    <row r="8" spans="1:18" x14ac:dyDescent="0.25">
      <c r="A8" s="5">
        <v>6</v>
      </c>
      <c r="B8" s="5" t="s">
        <v>16</v>
      </c>
      <c r="C8" s="12" t="s">
        <v>29</v>
      </c>
      <c r="D8" s="17" t="s">
        <v>10</v>
      </c>
      <c r="E8" s="17" t="s">
        <v>10</v>
      </c>
      <c r="F8" s="17" t="s">
        <v>10</v>
      </c>
      <c r="G8" s="17" t="s">
        <v>10</v>
      </c>
      <c r="H8" s="17" t="s">
        <v>10</v>
      </c>
      <c r="I8" s="3" t="s">
        <v>21</v>
      </c>
      <c r="J8" s="17" t="s">
        <v>10</v>
      </c>
      <c r="K8" s="3" t="s">
        <v>11</v>
      </c>
      <c r="L8" s="3" t="s">
        <v>11</v>
      </c>
      <c r="M8" s="17" t="s">
        <v>10</v>
      </c>
      <c r="N8" s="3"/>
      <c r="O8" s="2"/>
      <c r="P8" s="2"/>
      <c r="Q8" s="2">
        <f>COUNTIF(D8:N8, "б")</f>
        <v>2</v>
      </c>
      <c r="R8" s="2"/>
    </row>
    <row r="9" spans="1:18" x14ac:dyDescent="0.25">
      <c r="A9" s="5">
        <v>7</v>
      </c>
      <c r="B9" s="5" t="s">
        <v>17</v>
      </c>
      <c r="C9" s="12" t="s">
        <v>29</v>
      </c>
      <c r="D9" s="3" t="s">
        <v>11</v>
      </c>
      <c r="E9" s="3" t="s">
        <v>11</v>
      </c>
      <c r="F9" s="3" t="s">
        <v>21</v>
      </c>
      <c r="G9" s="3" t="s">
        <v>11</v>
      </c>
      <c r="H9" s="3" t="s">
        <v>21</v>
      </c>
      <c r="I9" s="3" t="s">
        <v>21</v>
      </c>
      <c r="J9" s="3" t="s">
        <v>21</v>
      </c>
      <c r="K9" s="3" t="s">
        <v>21</v>
      </c>
      <c r="L9" s="3" t="s">
        <v>21</v>
      </c>
      <c r="M9" s="17" t="s">
        <v>10</v>
      </c>
      <c r="N9" s="3"/>
      <c r="O9" s="2"/>
      <c r="P9" s="2"/>
      <c r="Q9" s="2">
        <f>COUNTIF(D9:N9, "б")</f>
        <v>3</v>
      </c>
      <c r="R9" s="2"/>
    </row>
    <row r="10" spans="1:18" x14ac:dyDescent="0.25">
      <c r="A10" s="5">
        <v>8</v>
      </c>
      <c r="B10" s="5" t="s">
        <v>0</v>
      </c>
      <c r="C10" s="14" t="s">
        <v>30</v>
      </c>
      <c r="D10" s="3" t="s">
        <v>21</v>
      </c>
      <c r="E10" s="3" t="s">
        <v>21</v>
      </c>
      <c r="F10" s="3" t="s">
        <v>21</v>
      </c>
      <c r="G10" s="3" t="s">
        <v>21</v>
      </c>
      <c r="H10" s="3" t="s">
        <v>21</v>
      </c>
      <c r="I10" s="17" t="s">
        <v>10</v>
      </c>
      <c r="J10" s="3" t="s">
        <v>21</v>
      </c>
      <c r="K10" s="17" t="s">
        <v>10</v>
      </c>
      <c r="L10" s="17" t="s">
        <v>10</v>
      </c>
      <c r="M10" s="17" t="s">
        <v>10</v>
      </c>
      <c r="N10" s="3"/>
      <c r="O10" s="2"/>
      <c r="P10" s="2"/>
      <c r="Q10" s="2">
        <f>COUNTIF(D10:N10, "б")</f>
        <v>0</v>
      </c>
      <c r="R10" s="2"/>
    </row>
    <row r="11" spans="1:18" x14ac:dyDescent="0.25">
      <c r="A11" s="5">
        <v>9</v>
      </c>
      <c r="B11" s="5" t="s">
        <v>27</v>
      </c>
      <c r="C11" s="12" t="s">
        <v>29</v>
      </c>
      <c r="D11" s="17" t="s">
        <v>10</v>
      </c>
      <c r="E11" s="17" t="s">
        <v>10</v>
      </c>
      <c r="F11" s="17" t="s">
        <v>10</v>
      </c>
      <c r="G11" s="17" t="s">
        <v>10</v>
      </c>
      <c r="H11" s="17" t="s">
        <v>10</v>
      </c>
      <c r="I11" s="17" t="s">
        <v>10</v>
      </c>
      <c r="J11" s="17" t="s">
        <v>10</v>
      </c>
      <c r="K11" s="17" t="s">
        <v>10</v>
      </c>
      <c r="L11" s="17" t="s">
        <v>10</v>
      </c>
      <c r="M11" s="17" t="s">
        <v>10</v>
      </c>
      <c r="N11" s="3"/>
      <c r="O11" s="2"/>
      <c r="P11" s="2"/>
      <c r="Q11" s="2">
        <f>COUNTIF(D11:N11, "б")</f>
        <v>0</v>
      </c>
      <c r="R11" s="2"/>
    </row>
    <row r="12" spans="1:18" x14ac:dyDescent="0.25">
      <c r="A12" s="5">
        <v>10</v>
      </c>
      <c r="B12" s="5" t="s">
        <v>9</v>
      </c>
      <c r="C12" s="10" t="s">
        <v>26</v>
      </c>
      <c r="D12" s="3" t="s">
        <v>21</v>
      </c>
      <c r="E12" s="3" t="s">
        <v>24</v>
      </c>
      <c r="F12" s="3" t="s">
        <v>21</v>
      </c>
      <c r="G12" s="3" t="s">
        <v>21</v>
      </c>
      <c r="H12" s="3" t="s">
        <v>21</v>
      </c>
      <c r="I12" s="3" t="s">
        <v>21</v>
      </c>
      <c r="J12" s="3" t="s">
        <v>21</v>
      </c>
      <c r="K12" s="17" t="s">
        <v>10</v>
      </c>
      <c r="L12" s="17" t="s">
        <v>10</v>
      </c>
      <c r="M12" s="17" t="s">
        <v>10</v>
      </c>
      <c r="N12" s="3"/>
      <c r="O12" s="2"/>
      <c r="P12" s="2"/>
      <c r="Q12" s="2">
        <f>COUNTIF(D12:N12, "б")</f>
        <v>0</v>
      </c>
      <c r="R12" s="2"/>
    </row>
    <row r="13" spans="1:18" x14ac:dyDescent="0.25">
      <c r="A13" s="5">
        <v>11</v>
      </c>
      <c r="B13" s="5" t="s">
        <v>5</v>
      </c>
      <c r="C13" s="10" t="s">
        <v>26</v>
      </c>
      <c r="D13" s="3" t="s">
        <v>21</v>
      </c>
      <c r="E13" s="3" t="s">
        <v>21</v>
      </c>
      <c r="F13" s="3" t="s">
        <v>21</v>
      </c>
      <c r="G13" s="3" t="s">
        <v>21</v>
      </c>
      <c r="H13" s="3" t="s">
        <v>21</v>
      </c>
      <c r="I13" s="17" t="s">
        <v>10</v>
      </c>
      <c r="J13" s="3" t="s">
        <v>21</v>
      </c>
      <c r="K13" s="3" t="s">
        <v>21</v>
      </c>
      <c r="L13" s="3" t="s">
        <v>21</v>
      </c>
      <c r="M13" s="3" t="s">
        <v>21</v>
      </c>
      <c r="N13" s="3"/>
      <c r="O13" s="2"/>
      <c r="P13" s="2"/>
      <c r="Q13" s="2">
        <f>COUNTIF(D13:N13, "б")</f>
        <v>0</v>
      </c>
      <c r="R13" s="2"/>
    </row>
    <row r="14" spans="1:18" x14ac:dyDescent="0.25">
      <c r="A14" s="5">
        <v>12</v>
      </c>
      <c r="B14" s="5" t="s">
        <v>6</v>
      </c>
      <c r="C14" s="10" t="s">
        <v>26</v>
      </c>
      <c r="D14" s="3" t="s">
        <v>11</v>
      </c>
      <c r="E14" s="17" t="s">
        <v>10</v>
      </c>
      <c r="F14" s="17" t="s">
        <v>10</v>
      </c>
      <c r="G14" s="17" t="s">
        <v>10</v>
      </c>
      <c r="H14" s="17" t="s">
        <v>10</v>
      </c>
      <c r="I14" s="17" t="s">
        <v>10</v>
      </c>
      <c r="J14" s="17" t="s">
        <v>10</v>
      </c>
      <c r="K14" s="17" t="s">
        <v>10</v>
      </c>
      <c r="L14" s="17" t="s">
        <v>10</v>
      </c>
      <c r="M14" s="17" t="s">
        <v>10</v>
      </c>
      <c r="N14" s="3"/>
      <c r="O14" s="2"/>
      <c r="P14" s="2"/>
      <c r="Q14" s="2">
        <f>COUNTIF(D14:N14, "б")</f>
        <v>1</v>
      </c>
      <c r="R14" s="2"/>
    </row>
    <row r="15" spans="1:18" x14ac:dyDescent="0.25">
      <c r="A15" s="5">
        <v>13</v>
      </c>
      <c r="B15" s="5" t="s">
        <v>7</v>
      </c>
      <c r="C15" s="12" t="s">
        <v>29</v>
      </c>
      <c r="D15" s="3" t="s">
        <v>21</v>
      </c>
      <c r="E15" s="17" t="s">
        <v>10</v>
      </c>
      <c r="F15" s="17" t="s">
        <v>10</v>
      </c>
      <c r="G15" s="17" t="s">
        <v>10</v>
      </c>
      <c r="H15" s="3" t="s">
        <v>21</v>
      </c>
      <c r="I15" s="3" t="s">
        <v>21</v>
      </c>
      <c r="J15" s="17" t="s">
        <v>10</v>
      </c>
      <c r="K15" s="17" t="s">
        <v>10</v>
      </c>
      <c r="L15" s="17" t="s">
        <v>10</v>
      </c>
      <c r="M15" s="3" t="s">
        <v>21</v>
      </c>
      <c r="N15" s="3"/>
      <c r="O15" s="2"/>
      <c r="P15" s="2"/>
      <c r="Q15" s="2">
        <f>COUNTIF(D15:N15, "б")</f>
        <v>0</v>
      </c>
      <c r="R15" s="2"/>
    </row>
    <row r="16" spans="1:18" x14ac:dyDescent="0.25">
      <c r="A16" s="5">
        <v>14</v>
      </c>
      <c r="B16" s="5" t="s">
        <v>19</v>
      </c>
      <c r="C16" s="10" t="s">
        <v>26</v>
      </c>
      <c r="D16" s="3" t="s">
        <v>11</v>
      </c>
      <c r="E16" s="3" t="s">
        <v>21</v>
      </c>
      <c r="F16" s="3" t="s">
        <v>21</v>
      </c>
      <c r="G16" s="3" t="s">
        <v>11</v>
      </c>
      <c r="H16" s="3" t="s">
        <v>11</v>
      </c>
      <c r="I16" s="3" t="s">
        <v>21</v>
      </c>
      <c r="J16" s="3" t="s">
        <v>21</v>
      </c>
      <c r="K16" s="3" t="s">
        <v>21</v>
      </c>
      <c r="L16" s="17" t="s">
        <v>10</v>
      </c>
      <c r="M16" s="3" t="s">
        <v>21</v>
      </c>
      <c r="N16" s="3"/>
      <c r="O16" s="2"/>
      <c r="P16" s="2"/>
      <c r="Q16" s="2">
        <f>COUNTIF(D16:N16, "б")</f>
        <v>3</v>
      </c>
      <c r="R16" s="2"/>
    </row>
    <row r="17" spans="1:18" x14ac:dyDescent="0.25">
      <c r="A17" s="5">
        <v>15</v>
      </c>
      <c r="B17" s="5" t="s">
        <v>2</v>
      </c>
      <c r="C17" s="10" t="s">
        <v>26</v>
      </c>
      <c r="D17" s="3" t="s">
        <v>11</v>
      </c>
      <c r="E17" s="3" t="s">
        <v>11</v>
      </c>
      <c r="F17" s="3" t="s">
        <v>11</v>
      </c>
      <c r="G17" s="3" t="s">
        <v>11</v>
      </c>
      <c r="H17" s="3" t="s">
        <v>24</v>
      </c>
      <c r="I17" s="3" t="s">
        <v>11</v>
      </c>
      <c r="J17" s="3" t="s">
        <v>21</v>
      </c>
      <c r="K17" s="3" t="s">
        <v>11</v>
      </c>
      <c r="L17" s="3" t="s">
        <v>11</v>
      </c>
      <c r="M17" s="17" t="s">
        <v>10</v>
      </c>
      <c r="N17" s="3"/>
      <c r="O17" s="2"/>
      <c r="P17" s="2"/>
      <c r="Q17" s="2">
        <f>COUNTIF(D17:N17, "б")</f>
        <v>7</v>
      </c>
      <c r="R17" s="2"/>
    </row>
    <row r="18" spans="1:18" x14ac:dyDescent="0.25">
      <c r="A18" s="5">
        <v>16</v>
      </c>
      <c r="B18" s="5" t="s">
        <v>18</v>
      </c>
      <c r="C18" s="15" t="s">
        <v>28</v>
      </c>
      <c r="D18" s="3" t="s">
        <v>21</v>
      </c>
      <c r="E18" s="3" t="s">
        <v>21</v>
      </c>
      <c r="F18" s="3" t="s">
        <v>21</v>
      </c>
      <c r="G18" s="3" t="s">
        <v>21</v>
      </c>
      <c r="H18" s="3" t="s">
        <v>21</v>
      </c>
      <c r="I18" s="3" t="s">
        <v>21</v>
      </c>
      <c r="J18" s="3" t="s">
        <v>21</v>
      </c>
      <c r="K18" s="3" t="s">
        <v>21</v>
      </c>
      <c r="L18" s="17" t="s">
        <v>10</v>
      </c>
      <c r="M18" s="3" t="s">
        <v>21</v>
      </c>
      <c r="N18" s="3"/>
      <c r="O18" s="2"/>
      <c r="P18" s="2"/>
      <c r="Q18" s="2">
        <f>COUNTIF(D18:N18, "б")</f>
        <v>0</v>
      </c>
      <c r="R18" s="2"/>
    </row>
    <row r="20" spans="1:18" x14ac:dyDescent="0.25">
      <c r="B20" s="1" t="s">
        <v>13</v>
      </c>
      <c r="C20" s="1"/>
    </row>
    <row r="23" spans="1:18" x14ac:dyDescent="0.25">
      <c r="B23" t="s">
        <v>22</v>
      </c>
      <c r="D23">
        <f t="shared" ref="D23:N23" si="0">COUNTIF(D3:D18,"б")</f>
        <v>5</v>
      </c>
      <c r="E23">
        <f t="shared" si="0"/>
        <v>2</v>
      </c>
      <c r="F23">
        <f t="shared" si="0"/>
        <v>1</v>
      </c>
      <c r="G23">
        <f t="shared" si="0"/>
        <v>3</v>
      </c>
      <c r="H23">
        <f t="shared" si="0"/>
        <v>1</v>
      </c>
      <c r="I23">
        <f t="shared" si="0"/>
        <v>1</v>
      </c>
      <c r="J23">
        <f t="shared" si="0"/>
        <v>0</v>
      </c>
      <c r="K23">
        <f t="shared" si="0"/>
        <v>2</v>
      </c>
      <c r="L23">
        <f t="shared" si="0"/>
        <v>2</v>
      </c>
      <c r="M23">
        <f t="shared" si="0"/>
        <v>0</v>
      </c>
      <c r="N23">
        <f t="shared" si="0"/>
        <v>0</v>
      </c>
    </row>
    <row r="24" spans="1:18" x14ac:dyDescent="0.25">
      <c r="B24" t="s">
        <v>23</v>
      </c>
      <c r="D24">
        <f>COUNTIF(D3:D18,"д")</f>
        <v>8</v>
      </c>
      <c r="E24">
        <f t="shared" ref="E24:N24" si="1">COUNTIF(E3:E18,"д")</f>
        <v>5</v>
      </c>
      <c r="F24">
        <f t="shared" si="1"/>
        <v>10</v>
      </c>
      <c r="G24">
        <f t="shared" si="1"/>
        <v>7</v>
      </c>
      <c r="H24">
        <f t="shared" si="1"/>
        <v>11</v>
      </c>
      <c r="I24">
        <f t="shared" si="1"/>
        <v>9</v>
      </c>
      <c r="J24">
        <f t="shared" si="1"/>
        <v>8</v>
      </c>
      <c r="K24">
        <f t="shared" si="1"/>
        <v>6</v>
      </c>
      <c r="L24">
        <f t="shared" si="1"/>
        <v>2</v>
      </c>
      <c r="M24">
        <f t="shared" si="1"/>
        <v>5</v>
      </c>
      <c r="N24">
        <f t="shared" si="1"/>
        <v>0</v>
      </c>
    </row>
    <row r="27" spans="1:18" x14ac:dyDescent="0.25">
      <c r="B27" s="9" t="s">
        <v>31</v>
      </c>
      <c r="C27">
        <v>7</v>
      </c>
    </row>
    <row r="28" spans="1:18" x14ac:dyDescent="0.25">
      <c r="B28" s="11" t="s">
        <v>29</v>
      </c>
      <c r="C28">
        <v>5</v>
      </c>
    </row>
    <row r="29" spans="1:18" x14ac:dyDescent="0.25">
      <c r="B29" s="13" t="s">
        <v>32</v>
      </c>
      <c r="C29">
        <v>2</v>
      </c>
    </row>
    <row r="30" spans="1:18" x14ac:dyDescent="0.25">
      <c r="B30" s="16" t="s">
        <v>33</v>
      </c>
      <c r="C30">
        <v>2</v>
      </c>
    </row>
  </sheetData>
  <sortState ref="B3:B14">
    <sortCondition ref="B3"/>
  </sortState>
  <hyperlinks>
    <hyperlink ref="B20" r:id="rId1"/>
  </hyperlinks>
  <pageMargins left="0.7" right="0.7" top="0.75" bottom="0.75" header="0.3" footer="0.3"/>
  <pageSetup paperSize="9" orientation="portrait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R30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G28" sqref="G28"/>
    </sheetView>
  </sheetViews>
  <sheetFormatPr defaultRowHeight="15" x14ac:dyDescent="0.25"/>
  <cols>
    <col min="2" max="2" width="35.28515625" bestFit="1" customWidth="1"/>
    <col min="3" max="3" width="21.140625" bestFit="1" customWidth="1"/>
    <col min="4" max="7" width="10.140625" bestFit="1" customWidth="1"/>
    <col min="8" max="12" width="10.140625" customWidth="1"/>
    <col min="13" max="13" width="10.140625" bestFit="1" customWidth="1"/>
    <col min="14" max="15" width="10.140625" customWidth="1"/>
    <col min="17" max="17" width="14.5703125" bestFit="1" customWidth="1"/>
  </cols>
  <sheetData>
    <row r="2" spans="1:18" x14ac:dyDescent="0.25">
      <c r="A2" s="6" t="s">
        <v>20</v>
      </c>
      <c r="B2" s="5" t="s">
        <v>4</v>
      </c>
      <c r="C2" s="5" t="s">
        <v>25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4"/>
      <c r="P2" s="2"/>
      <c r="Q2" s="8"/>
      <c r="R2" s="2"/>
    </row>
    <row r="3" spans="1:18" x14ac:dyDescent="0.25">
      <c r="A3" s="5">
        <v>1</v>
      </c>
      <c r="B3" s="5" t="s">
        <v>8</v>
      </c>
      <c r="C3" s="14" t="s">
        <v>30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2"/>
      <c r="P3" s="2"/>
      <c r="Q3" s="2"/>
      <c r="R3" s="2"/>
    </row>
    <row r="4" spans="1:18" x14ac:dyDescent="0.25">
      <c r="A4" s="5">
        <v>2</v>
      </c>
      <c r="B4" s="5" t="s">
        <v>1</v>
      </c>
      <c r="C4" s="15" t="s">
        <v>28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2"/>
      <c r="P4" s="2"/>
      <c r="Q4" s="2"/>
      <c r="R4" s="2"/>
    </row>
    <row r="5" spans="1:18" x14ac:dyDescent="0.25">
      <c r="A5" s="5">
        <v>3</v>
      </c>
      <c r="B5" s="5" t="s">
        <v>3</v>
      </c>
      <c r="C5" s="10" t="s">
        <v>26</v>
      </c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2"/>
      <c r="P5" s="2"/>
      <c r="Q5" s="2"/>
      <c r="R5" s="2"/>
    </row>
    <row r="6" spans="1:18" x14ac:dyDescent="0.25">
      <c r="A6" s="5">
        <v>4</v>
      </c>
      <c r="B6" s="5" t="s">
        <v>14</v>
      </c>
      <c r="C6" s="10" t="s">
        <v>26</v>
      </c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2"/>
      <c r="P6" s="2"/>
      <c r="Q6" s="2"/>
      <c r="R6" s="2"/>
    </row>
    <row r="7" spans="1:18" x14ac:dyDescent="0.25">
      <c r="A7" s="5">
        <v>5</v>
      </c>
      <c r="B7" s="5" t="s">
        <v>15</v>
      </c>
      <c r="C7" s="12" t="s">
        <v>29</v>
      </c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2"/>
      <c r="P7" s="2"/>
      <c r="Q7" s="2"/>
      <c r="R7" s="2"/>
    </row>
    <row r="8" spans="1:18" x14ac:dyDescent="0.25">
      <c r="A8" s="5">
        <v>6</v>
      </c>
      <c r="B8" s="5" t="s">
        <v>16</v>
      </c>
      <c r="C8" s="12" t="s">
        <v>29</v>
      </c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2"/>
      <c r="P8" s="2"/>
      <c r="Q8" s="2"/>
      <c r="R8" s="2"/>
    </row>
    <row r="9" spans="1:18" x14ac:dyDescent="0.25">
      <c r="A9" s="5">
        <v>7</v>
      </c>
      <c r="B9" s="5" t="s">
        <v>17</v>
      </c>
      <c r="C9" s="12" t="s">
        <v>29</v>
      </c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2"/>
      <c r="P9" s="2"/>
      <c r="Q9" s="2"/>
      <c r="R9" s="2"/>
    </row>
    <row r="10" spans="1:18" x14ac:dyDescent="0.25">
      <c r="A10" s="5">
        <v>8</v>
      </c>
      <c r="B10" s="5" t="s">
        <v>0</v>
      </c>
      <c r="C10" s="14" t="s">
        <v>30</v>
      </c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2"/>
      <c r="P10" s="2"/>
      <c r="Q10" s="2"/>
      <c r="R10" s="2"/>
    </row>
    <row r="11" spans="1:18" x14ac:dyDescent="0.25">
      <c r="A11" s="5">
        <v>9</v>
      </c>
      <c r="B11" s="5" t="s">
        <v>27</v>
      </c>
      <c r="C11" s="12" t="s">
        <v>29</v>
      </c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2"/>
      <c r="P11" s="2"/>
      <c r="Q11" s="2"/>
      <c r="R11" s="2"/>
    </row>
    <row r="12" spans="1:18" x14ac:dyDescent="0.25">
      <c r="A12" s="5">
        <v>10</v>
      </c>
      <c r="B12" s="5" t="s">
        <v>9</v>
      </c>
      <c r="C12" s="10" t="s">
        <v>26</v>
      </c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2"/>
      <c r="P12" s="2"/>
      <c r="Q12" s="2"/>
      <c r="R12" s="2"/>
    </row>
    <row r="13" spans="1:18" x14ac:dyDescent="0.25">
      <c r="A13" s="5">
        <v>11</v>
      </c>
      <c r="B13" s="5" t="s">
        <v>5</v>
      </c>
      <c r="C13" s="10" t="s">
        <v>26</v>
      </c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2"/>
      <c r="P13" s="2"/>
      <c r="Q13" s="2"/>
      <c r="R13" s="2"/>
    </row>
    <row r="14" spans="1:18" x14ac:dyDescent="0.25">
      <c r="A14" s="5">
        <v>12</v>
      </c>
      <c r="B14" s="5" t="s">
        <v>6</v>
      </c>
      <c r="C14" s="10" t="s">
        <v>26</v>
      </c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2"/>
      <c r="P14" s="2"/>
      <c r="Q14" s="2"/>
      <c r="R14" s="2"/>
    </row>
    <row r="15" spans="1:18" x14ac:dyDescent="0.25">
      <c r="A15" s="5">
        <v>13</v>
      </c>
      <c r="B15" s="5" t="s">
        <v>7</v>
      </c>
      <c r="C15" s="12" t="s">
        <v>29</v>
      </c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2"/>
      <c r="P15" s="2"/>
      <c r="Q15" s="2"/>
      <c r="R15" s="2"/>
    </row>
    <row r="16" spans="1:18" x14ac:dyDescent="0.25">
      <c r="A16" s="5">
        <v>14</v>
      </c>
      <c r="B16" s="5" t="s">
        <v>19</v>
      </c>
      <c r="C16" s="10" t="s">
        <v>26</v>
      </c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2"/>
      <c r="P16" s="2"/>
      <c r="Q16" s="2"/>
      <c r="R16" s="2"/>
    </row>
    <row r="17" spans="1:18" x14ac:dyDescent="0.25">
      <c r="A17" s="5">
        <v>15</v>
      </c>
      <c r="B17" s="5" t="s">
        <v>2</v>
      </c>
      <c r="C17" s="10" t="s">
        <v>26</v>
      </c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2"/>
      <c r="P17" s="2"/>
      <c r="Q17" s="2"/>
      <c r="R17" s="2"/>
    </row>
    <row r="18" spans="1:18" x14ac:dyDescent="0.25">
      <c r="A18" s="5">
        <v>16</v>
      </c>
      <c r="B18" s="5" t="s">
        <v>18</v>
      </c>
      <c r="C18" s="15" t="s">
        <v>28</v>
      </c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2"/>
      <c r="P18" s="2"/>
      <c r="Q18" s="2"/>
      <c r="R18" s="2"/>
    </row>
    <row r="19" spans="1:18" x14ac:dyDescent="0.25"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 spans="1:18" x14ac:dyDescent="0.25">
      <c r="B20" s="1" t="s">
        <v>13</v>
      </c>
      <c r="C20" s="1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</row>
    <row r="21" spans="1:18" x14ac:dyDescent="0.25"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</row>
    <row r="22" spans="1:18" x14ac:dyDescent="0.25"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</row>
    <row r="23" spans="1:18" x14ac:dyDescent="0.25">
      <c r="B23" t="s">
        <v>22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</row>
    <row r="24" spans="1:18" x14ac:dyDescent="0.25">
      <c r="B24" t="s">
        <v>23</v>
      </c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</row>
    <row r="27" spans="1:18" x14ac:dyDescent="0.25">
      <c r="B27" s="9" t="s">
        <v>31</v>
      </c>
      <c r="C27">
        <v>7</v>
      </c>
    </row>
    <row r="28" spans="1:18" x14ac:dyDescent="0.25">
      <c r="B28" s="11" t="s">
        <v>29</v>
      </c>
      <c r="C28">
        <v>5</v>
      </c>
    </row>
    <row r="29" spans="1:18" x14ac:dyDescent="0.25">
      <c r="B29" s="13" t="s">
        <v>32</v>
      </c>
      <c r="C29">
        <v>2</v>
      </c>
    </row>
    <row r="30" spans="1:18" x14ac:dyDescent="0.25">
      <c r="B30" s="16" t="s">
        <v>33</v>
      </c>
      <c r="C30">
        <v>2</v>
      </c>
    </row>
  </sheetData>
  <hyperlinks>
    <hyperlink ref="B20" r:id="rId1"/>
  </hyperlinks>
  <pageMargins left="0.7" right="0.7" top="0.75" bottom="0.75" header="0.3" footer="0.3"/>
  <pageSetup paperSize="9" orientation="portrait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Посещаемость</vt:lpstr>
      <vt:lpstr>Выполнение</vt:lpstr>
    </vt:vector>
  </TitlesOfParts>
  <Company>RUT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Сафронов А И</dc:creator>
  <cp:lastModifiedBy>Антон Сафронов</cp:lastModifiedBy>
  <dcterms:created xsi:type="dcterms:W3CDTF">2021-09-07T15:33:57Z</dcterms:created>
  <dcterms:modified xsi:type="dcterms:W3CDTF">2023-09-04T20:39:41Z</dcterms:modified>
</cp:coreProperties>
</file>